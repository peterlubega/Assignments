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onns\"/>
    </mc:Choice>
  </mc:AlternateContent>
  <bookViews>
    <workbookView xWindow="0" yWindow="0" windowWidth="24000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M4" i="1"/>
  <c r="M3" i="1"/>
  <c r="M2" i="1"/>
  <c r="G3" i="1"/>
  <c r="G4" i="1"/>
  <c r="H4" i="1" s="1"/>
  <c r="G5" i="1"/>
  <c r="H5" i="1" s="1"/>
  <c r="G6" i="1"/>
  <c r="H6" i="1" s="1"/>
  <c r="G7" i="1"/>
  <c r="H7" i="1" s="1"/>
  <c r="G2" i="1"/>
  <c r="H2" i="1" s="1"/>
  <c r="N3" i="1" l="1"/>
  <c r="Q3" i="1" s="1"/>
  <c r="N4" i="1"/>
  <c r="Q4" i="1" s="1"/>
  <c r="H3" i="1"/>
  <c r="O4" i="1" s="1"/>
  <c r="N2" i="1"/>
  <c r="Q2" i="1" s="1"/>
  <c r="O2" i="1"/>
  <c r="P2" i="1" l="1"/>
  <c r="O3" i="1"/>
  <c r="P3" i="1" s="1"/>
  <c r="P4" i="1"/>
</calcChain>
</file>

<file path=xl/sharedStrings.xml><?xml version="1.0" encoding="utf-8"?>
<sst xmlns="http://schemas.openxmlformats.org/spreadsheetml/2006/main" count="28" uniqueCount="22">
  <si>
    <t>Activity</t>
  </si>
  <si>
    <t>Day Output</t>
  </si>
  <si>
    <t>Total Time taken</t>
  </si>
  <si>
    <t xml:space="preserve">Expected Time </t>
  </si>
  <si>
    <t>Staff</t>
  </si>
  <si>
    <t>Opening Accounts</t>
  </si>
  <si>
    <t>Account Maintanance</t>
  </si>
  <si>
    <t>checks</t>
  </si>
  <si>
    <t>Ken</t>
  </si>
  <si>
    <t>ken</t>
  </si>
  <si>
    <t>Ibu</t>
  </si>
  <si>
    <t>Jay</t>
  </si>
  <si>
    <t>Expected_Ttle_Time</t>
  </si>
  <si>
    <t>ibu</t>
  </si>
  <si>
    <t>jay</t>
  </si>
  <si>
    <t>total productivity</t>
  </si>
  <si>
    <t>ttl time taken</t>
  </si>
  <si>
    <t>Ttl_TimeDay</t>
  </si>
  <si>
    <t>AverageProd</t>
  </si>
  <si>
    <t>Prod</t>
  </si>
  <si>
    <t>Effective Productivity</t>
  </si>
  <si>
    <t>Excess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</si>
</sst>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9" fontId="0" fillId="0" borderId="0" xfId="1" applyFont="1"/>
    <xf numFmtId="9" fontId="4" fillId="0" borderId="0" xfId="1" applyFont="1"/>
    <xf numFmtId="169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9" fontId="4" fillId="0" borderId="0" xfId="1" applyFont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25"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Q7" sqref="Q7"/>
    </sheetView>
  </sheetViews>
  <sheetFormatPr defaultRowHeight="15.75" x14ac:dyDescent="0.25"/>
  <cols>
    <col min="1" max="1" width="20.28515625" bestFit="1" customWidth="1"/>
    <col min="2" max="2" width="5.140625" bestFit="1" customWidth="1"/>
    <col min="3" max="3" width="11" bestFit="1" customWidth="1"/>
    <col min="4" max="4" width="15.85546875" bestFit="1" customWidth="1"/>
    <col min="5" max="5" width="14.5703125" bestFit="1" customWidth="1"/>
    <col min="7" max="7" width="20.85546875" bestFit="1" customWidth="1"/>
    <col min="8" max="8" width="14" style="4" customWidth="1"/>
    <col min="10" max="10" width="12" bestFit="1" customWidth="1"/>
    <col min="11" max="11" width="12" customWidth="1"/>
    <col min="12" max="12" width="6.7109375" style="1" customWidth="1"/>
    <col min="13" max="13" width="16.42578125" bestFit="1" customWidth="1"/>
    <col min="14" max="14" width="13.140625" bestFit="1" customWidth="1"/>
    <col min="15" max="15" width="13.7109375" bestFit="1" customWidth="1"/>
    <col min="16" max="16" width="6.140625" style="5" bestFit="1" customWidth="1"/>
  </cols>
  <sheetData>
    <row r="1" spans="1:17" s="7" customFormat="1" ht="30" x14ac:dyDescent="0.25">
      <c r="A1" s="12" t="s">
        <v>0</v>
      </c>
      <c r="B1" s="13" t="s">
        <v>4</v>
      </c>
      <c r="C1" s="13" t="s">
        <v>1</v>
      </c>
      <c r="D1" s="13" t="s">
        <v>2</v>
      </c>
      <c r="E1" s="14" t="s">
        <v>3</v>
      </c>
      <c r="G1" s="8" t="s">
        <v>12</v>
      </c>
      <c r="H1" s="9" t="s">
        <v>20</v>
      </c>
      <c r="J1" s="7" t="s">
        <v>17</v>
      </c>
      <c r="M1" s="7" t="s">
        <v>15</v>
      </c>
      <c r="N1" s="7" t="s">
        <v>16</v>
      </c>
      <c r="O1" s="7" t="s">
        <v>18</v>
      </c>
      <c r="P1" s="10" t="s">
        <v>19</v>
      </c>
      <c r="Q1" s="7" t="s">
        <v>21</v>
      </c>
    </row>
    <row r="2" spans="1:17" x14ac:dyDescent="0.25">
      <c r="A2" s="15" t="s">
        <v>5</v>
      </c>
      <c r="B2" s="11" t="s">
        <v>8</v>
      </c>
      <c r="C2" s="11">
        <v>50</v>
      </c>
      <c r="D2" s="11">
        <v>90</v>
      </c>
      <c r="E2" s="16">
        <v>2</v>
      </c>
      <c r="G2" s="2">
        <f>C2*E2</f>
        <v>100</v>
      </c>
      <c r="H2" s="4">
        <f>G2/D2</f>
        <v>1.1111111111111112</v>
      </c>
      <c r="J2" s="3">
        <f>8*60</f>
        <v>480</v>
      </c>
      <c r="L2" s="1" t="s">
        <v>9</v>
      </c>
      <c r="M2">
        <f ca="1">SUMIF(B:D,L2,C:C)</f>
        <v>125</v>
      </c>
      <c r="N2">
        <f ca="1">SUMIF(B:G,L2,D:D)</f>
        <v>490</v>
      </c>
      <c r="O2" s="6">
        <f ca="1">AVERAGEIF(B:H,L2,H:H)</f>
        <v>1.0243055555555556</v>
      </c>
      <c r="P2" s="5">
        <f ca="1">(N2*O2)/$J$2</f>
        <v>1.0456452546296295</v>
      </c>
      <c r="Q2">
        <f ca="1">$J$2-N2</f>
        <v>-10</v>
      </c>
    </row>
    <row r="3" spans="1:17" x14ac:dyDescent="0.25">
      <c r="A3" s="15" t="s">
        <v>6</v>
      </c>
      <c r="B3" s="11" t="s">
        <v>9</v>
      </c>
      <c r="C3" s="11">
        <v>75</v>
      </c>
      <c r="D3" s="11">
        <v>400</v>
      </c>
      <c r="E3" s="16">
        <v>5</v>
      </c>
      <c r="G3" s="2">
        <f t="shared" ref="G3:G7" si="0">C3*E3</f>
        <v>375</v>
      </c>
      <c r="H3" s="4">
        <f>G3/D3</f>
        <v>0.9375</v>
      </c>
      <c r="L3" s="1" t="s">
        <v>13</v>
      </c>
      <c r="M3">
        <f ca="1">SUMIF(B:D,L3,C:C)</f>
        <v>77</v>
      </c>
      <c r="N3">
        <f t="shared" ref="N3:N4" ca="1" si="1">SUMIF(B:G,L3,D:D)</f>
        <v>139</v>
      </c>
      <c r="O3" s="6">
        <f ca="1">AVERAGEIF(B:H,L3,H:H)</f>
        <v>2.6513761467889907</v>
      </c>
      <c r="P3" s="5">
        <f ca="1">(N3*O3)/$J$2</f>
        <v>0.76779434250764522</v>
      </c>
      <c r="Q3">
        <f t="shared" ref="Q3:Q4" ca="1" si="2">$J$2-N3</f>
        <v>341</v>
      </c>
    </row>
    <row r="4" spans="1:17" x14ac:dyDescent="0.25">
      <c r="A4" s="15" t="s">
        <v>7</v>
      </c>
      <c r="B4" s="11" t="s">
        <v>10</v>
      </c>
      <c r="C4" s="11">
        <v>10</v>
      </c>
      <c r="D4" s="11">
        <v>30</v>
      </c>
      <c r="E4" s="16">
        <v>3</v>
      </c>
      <c r="G4" s="2">
        <f t="shared" si="0"/>
        <v>30</v>
      </c>
      <c r="H4" s="4">
        <f t="shared" ref="H4:H7" si="3">G4/D4</f>
        <v>1</v>
      </c>
      <c r="L4" s="1" t="s">
        <v>14</v>
      </c>
      <c r="M4">
        <f ca="1">SUMIF(B:D,L4,C:C)</f>
        <v>39</v>
      </c>
      <c r="N4">
        <f t="shared" ca="1" si="1"/>
        <v>79</v>
      </c>
      <c r="O4" s="6">
        <f ca="1">AVERAGEIF(B:H,L4,H:H)</f>
        <v>5.1893939393939394</v>
      </c>
      <c r="P4" s="5">
        <f ca="1">(N4*O4)/$J$2</f>
        <v>0.85408775252525249</v>
      </c>
      <c r="Q4">
        <f t="shared" ca="1" si="2"/>
        <v>401</v>
      </c>
    </row>
    <row r="5" spans="1:17" x14ac:dyDescent="0.25">
      <c r="A5" s="15" t="s">
        <v>5</v>
      </c>
      <c r="B5" s="11" t="s">
        <v>11</v>
      </c>
      <c r="C5" s="11">
        <v>35</v>
      </c>
      <c r="D5" s="11">
        <v>55</v>
      </c>
      <c r="E5" s="16">
        <v>15</v>
      </c>
      <c r="G5" s="2">
        <f t="shared" si="0"/>
        <v>525</v>
      </c>
      <c r="H5" s="4">
        <f t="shared" si="3"/>
        <v>9.545454545454545</v>
      </c>
    </row>
    <row r="6" spans="1:17" x14ac:dyDescent="0.25">
      <c r="A6" s="15" t="s">
        <v>6</v>
      </c>
      <c r="B6" s="11" t="s">
        <v>10</v>
      </c>
      <c r="C6" s="11">
        <v>67</v>
      </c>
      <c r="D6" s="11">
        <v>109</v>
      </c>
      <c r="E6" s="16">
        <v>7</v>
      </c>
      <c r="G6" s="2">
        <f t="shared" si="0"/>
        <v>469</v>
      </c>
      <c r="H6" s="4">
        <f t="shared" si="3"/>
        <v>4.3027522935779814</v>
      </c>
    </row>
    <row r="7" spans="1:17" ht="16.5" thickBot="1" x14ac:dyDescent="0.3">
      <c r="A7" s="17" t="s">
        <v>7</v>
      </c>
      <c r="B7" s="18" t="s">
        <v>11</v>
      </c>
      <c r="C7" s="18">
        <v>4</v>
      </c>
      <c r="D7" s="18">
        <v>24</v>
      </c>
      <c r="E7" s="19">
        <v>5</v>
      </c>
      <c r="G7" s="2">
        <f t="shared" si="0"/>
        <v>20</v>
      </c>
      <c r="H7" s="4">
        <f t="shared" si="3"/>
        <v>0.83333333333333337</v>
      </c>
    </row>
  </sheetData>
  <conditionalFormatting sqref="A1:K1048562 O1:XEM1048562">
    <cfRule type="expression" dxfId="23" priority="1">
      <formula>_xlfn.ISFORMULA(A1:Q15)</formula>
    </cfRule>
    <cfRule type="expression" dxfId="22" priority="2">
      <formula>_xlfn.ISFORMULA(XER1048568)</formula>
    </cfRule>
  </conditionalFormatting>
  <conditionalFormatting sqref="A1048563:K1048576">
    <cfRule type="expression" dxfId="21" priority="15">
      <formula>_xlfn.ISFORMULA(A1:Q1048563)</formula>
    </cfRule>
    <cfRule type="expression" dxfId="20" priority="16">
      <formula>_xlfn.ISFORMULA(XER1048554)</formula>
    </cfRule>
  </conditionalFormatting>
  <conditionalFormatting sqref="N10:N1048562">
    <cfRule type="expression" dxfId="19" priority="17">
      <formula>_xlfn.ISFORMULA(N10:AC24)</formula>
    </cfRule>
    <cfRule type="expression" dxfId="18" priority="18">
      <formula>_xlfn.ISFORMULA(A1)</formula>
    </cfRule>
  </conditionalFormatting>
  <conditionalFormatting sqref="L10:M1048562">
    <cfRule type="expression" dxfId="17" priority="19">
      <formula>_xlfn.ISFORMULA(L10:AA24)</formula>
    </cfRule>
    <cfRule type="expression" dxfId="16" priority="20">
      <formula>_xlfn.ISFORMULA(XFB1)</formula>
    </cfRule>
  </conditionalFormatting>
  <conditionalFormatting sqref="XFC1048563:XFD1048576">
    <cfRule type="expression" dxfId="15" priority="23">
      <formula>_xlfn.ISFORMULA(O1:XFD1048563)</formula>
    </cfRule>
    <cfRule type="expression" dxfId="14" priority="24">
      <formula>_xlfn.ISFORMULA(XEP1048554)</formula>
    </cfRule>
  </conditionalFormatting>
  <conditionalFormatting sqref="O1048563:XFB1048576">
    <cfRule type="expression" dxfId="13" priority="25">
      <formula>_xlfn.ISFORMULA(O1:AD1048563)</formula>
    </cfRule>
    <cfRule type="expression" dxfId="12" priority="26">
      <formula>_xlfn.ISFORMULA(C1048554)</formula>
    </cfRule>
  </conditionalFormatting>
  <conditionalFormatting sqref="XEN1:XEN1048562">
    <cfRule type="expression" dxfId="11" priority="31">
      <formula>_xlfn.ISFORMULA(A1:XEN15)</formula>
    </cfRule>
    <cfRule type="expression" dxfId="10" priority="32">
      <formula>_xlfn.ISFORMULA(XDZ1048568)</formula>
    </cfRule>
  </conditionalFormatting>
  <conditionalFormatting sqref="L1:N9">
    <cfRule type="expression" dxfId="9" priority="35">
      <formula>_xlfn.ISFORMULA(L1:AA15)</formula>
    </cfRule>
    <cfRule type="expression" dxfId="8" priority="36">
      <formula>_xlfn.ISFORMULA(XFA1048568)</formula>
    </cfRule>
  </conditionalFormatting>
  <conditionalFormatting sqref="XFC1:XFD1048562">
    <cfRule type="expression" dxfId="7" priority="37">
      <formula>_xlfn.ISFORMULA(O1:XFD15)</formula>
    </cfRule>
    <cfRule type="expression" dxfId="6" priority="38">
      <formula>_xlfn.ISFORMULA(XEP1048568)</formula>
    </cfRule>
  </conditionalFormatting>
  <conditionalFormatting sqref="XEO1:XFB1048562">
    <cfRule type="expression" dxfId="5" priority="39">
      <formula>_xlfn.ISFORMULA(A1:XEO15)</formula>
    </cfRule>
    <cfRule type="expression" dxfId="4" priority="40">
      <formula>_xlfn.ISFORMULA(XEB1048568)</formula>
    </cfRule>
  </conditionalFormatting>
  <conditionalFormatting sqref="N1048563:N1048576">
    <cfRule type="expression" dxfId="3" priority="41">
      <formula>_xlfn.ISFORMULA(N1:AC1048563)</formula>
    </cfRule>
    <cfRule type="expression" dxfId="2" priority="42">
      <formula>_xlfn.ISFORMULA(A1048554)</formula>
    </cfRule>
  </conditionalFormatting>
  <conditionalFormatting sqref="L1048563:M1048576">
    <cfRule type="expression" dxfId="1" priority="43">
      <formula>_xlfn.ISFORMULA(L1:AA1048563)</formula>
    </cfRule>
    <cfRule type="expression" dxfId="0" priority="44">
      <formula>_xlfn.ISFORMULA(XFB1048554)</formula>
    </cfRule>
  </conditionalFormatting>
  <pageMargins left="0.7" right="0.7" top="0.75" bottom="0.75" header="0.3" footer="0.3"/>
  <pageSetup paperSize="130" orientation="portrait" horizontalDpi="203" verticalDpi="203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2024-08-10T15:14:02Z</dcterms:created>
  <dcterms:modified xsi:type="dcterms:W3CDTF">2024-08-10T17:45:26Z</dcterms:modified>
</cp:coreProperties>
</file>