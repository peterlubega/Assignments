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onns\"/>
    </mc:Choice>
  </mc:AlternateContent>
  <bookViews>
    <workbookView xWindow="0" yWindow="0" windowWidth="24000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M4" i="1"/>
  <c r="M3" i="1"/>
  <c r="M2" i="1"/>
  <c r="H7" i="1"/>
  <c r="G3" i="1"/>
  <c r="G4" i="1"/>
  <c r="H4" i="1" s="1"/>
  <c r="G5" i="1"/>
  <c r="H5" i="1" s="1"/>
  <c r="G6" i="1"/>
  <c r="H6" i="1" s="1"/>
  <c r="G7" i="1"/>
  <c r="G2" i="1"/>
  <c r="H2" i="1" s="1"/>
  <c r="N3" i="1" l="1"/>
  <c r="N4" i="1"/>
  <c r="O3" i="1"/>
  <c r="O2" i="1"/>
  <c r="H3" i="1"/>
  <c r="P4" i="1" s="1"/>
  <c r="N2" i="1"/>
  <c r="O4" i="1"/>
  <c r="P2" i="1"/>
  <c r="Q2" i="1" l="1"/>
  <c r="P3" i="1"/>
  <c r="Q3" i="1" s="1"/>
  <c r="Q4" i="1"/>
</calcChain>
</file>

<file path=xl/sharedStrings.xml><?xml version="1.0" encoding="utf-8"?>
<sst xmlns="http://schemas.openxmlformats.org/spreadsheetml/2006/main" count="28" uniqueCount="22">
  <si>
    <t>Activity</t>
  </si>
  <si>
    <t>Day Output</t>
  </si>
  <si>
    <t>Total Time taken</t>
  </si>
  <si>
    <t xml:space="preserve">Expected Time </t>
  </si>
  <si>
    <t>Staff</t>
  </si>
  <si>
    <t>Opening Accounts</t>
  </si>
  <si>
    <t>Account Maintanance</t>
  </si>
  <si>
    <t>checks</t>
  </si>
  <si>
    <t>Ken</t>
  </si>
  <si>
    <t>ken</t>
  </si>
  <si>
    <t>Ibu</t>
  </si>
  <si>
    <t>Jay</t>
  </si>
  <si>
    <t>Expected_Ttle_Time</t>
  </si>
  <si>
    <t>Productivity</t>
  </si>
  <si>
    <t>ibu</t>
  </si>
  <si>
    <t>jay</t>
  </si>
  <si>
    <t>total productivity</t>
  </si>
  <si>
    <t>ttl time taken</t>
  </si>
  <si>
    <t>ttle expected time</t>
  </si>
  <si>
    <t>Ttl_TimeDay</t>
  </si>
  <si>
    <t>AverageProd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</si>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</sst>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2" borderId="0" xfId="0" applyFont="1" applyFill="1"/>
    <xf numFmtId="9" fontId="0" fillId="0" borderId="0" xfId="1" applyFont="1"/>
    <xf numFmtId="9" fontId="2" fillId="0" borderId="0" xfId="1" applyFont="1" applyAlignment="1">
      <alignment horizontal="center" vertical="center"/>
    </xf>
    <xf numFmtId="9" fontId="4" fillId="0" borderId="0" xfId="1" applyFont="1" applyAlignment="1">
      <alignment horizontal="center" vertical="center"/>
    </xf>
    <xf numFmtId="9" fontId="4" fillId="0" borderId="0" xfId="1" applyFont="1"/>
    <xf numFmtId="169" fontId="0" fillId="0" borderId="0" xfId="0" applyNumberFormat="1"/>
  </cellXfs>
  <cellStyles count="2">
    <cellStyle name="Normal" xfId="0" builtinId="0"/>
    <cellStyle name="Percent" xfId="1" builtinId="5"/>
  </cellStyles>
  <dxfs count="15"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K8" sqref="K8"/>
    </sheetView>
  </sheetViews>
  <sheetFormatPr defaultRowHeight="15.75" x14ac:dyDescent="0.25"/>
  <cols>
    <col min="1" max="1" width="20.28515625" bestFit="1" customWidth="1"/>
    <col min="2" max="2" width="5.140625" bestFit="1" customWidth="1"/>
    <col min="3" max="3" width="11" bestFit="1" customWidth="1"/>
    <col min="4" max="4" width="15.85546875" bestFit="1" customWidth="1"/>
    <col min="5" max="5" width="14.5703125" bestFit="1" customWidth="1"/>
    <col min="7" max="7" width="20.85546875" bestFit="1" customWidth="1"/>
    <col min="8" max="8" width="11.7109375" style="6" bestFit="1" customWidth="1"/>
    <col min="10" max="10" width="12" bestFit="1" customWidth="1"/>
    <col min="11" max="11" width="12" customWidth="1"/>
    <col min="12" max="12" width="6.7109375" style="1" customWidth="1"/>
    <col min="13" max="13" width="16.42578125" bestFit="1" customWidth="1"/>
    <col min="14" max="14" width="13.140625" bestFit="1" customWidth="1"/>
    <col min="15" max="15" width="17.7109375" bestFit="1" customWidth="1"/>
    <col min="16" max="16" width="13.7109375" bestFit="1" customWidth="1"/>
    <col min="17" max="17" width="5.7109375" style="9" bestFit="1" customWidth="1"/>
  </cols>
  <sheetData>
    <row r="1" spans="1:17" s="2" customFormat="1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G1" s="3" t="s">
        <v>12</v>
      </c>
      <c r="H1" s="7" t="s">
        <v>13</v>
      </c>
      <c r="J1" s="2" t="s">
        <v>19</v>
      </c>
      <c r="M1" s="2" t="s">
        <v>16</v>
      </c>
      <c r="N1" s="2" t="s">
        <v>17</v>
      </c>
      <c r="O1" s="2" t="s">
        <v>18</v>
      </c>
      <c r="P1" s="2" t="s">
        <v>20</v>
      </c>
      <c r="Q1" s="8" t="s">
        <v>21</v>
      </c>
    </row>
    <row r="2" spans="1:17" x14ac:dyDescent="0.25">
      <c r="A2" t="s">
        <v>5</v>
      </c>
      <c r="B2" t="s">
        <v>8</v>
      </c>
      <c r="C2">
        <v>40</v>
      </c>
      <c r="D2">
        <v>90</v>
      </c>
      <c r="E2">
        <v>2</v>
      </c>
      <c r="G2" s="4">
        <f>C2*E2</f>
        <v>80</v>
      </c>
      <c r="H2" s="6">
        <f>G2/D2</f>
        <v>0.88888888888888884</v>
      </c>
      <c r="J2" s="5">
        <f>8*60</f>
        <v>480</v>
      </c>
      <c r="L2" s="1" t="s">
        <v>9</v>
      </c>
      <c r="M2">
        <f ca="1">SUMIF(B:D,L2,C:C)</f>
        <v>120</v>
      </c>
      <c r="N2">
        <f ca="1">SUMIF(B:G,L2,D:D)</f>
        <v>490</v>
      </c>
      <c r="O2">
        <f ca="1">SUMIF(B:G,L2,G:G)</f>
        <v>480</v>
      </c>
      <c r="P2" s="10">
        <f ca="1">AVERAGEIF(B:H,L2,H:H)</f>
        <v>0.94444444444444442</v>
      </c>
      <c r="Q2" s="9">
        <f ca="1">(N2*P2)/$J$2</f>
        <v>0.96412037037037035</v>
      </c>
    </row>
    <row r="3" spans="1:17" x14ac:dyDescent="0.25">
      <c r="A3" t="s">
        <v>6</v>
      </c>
      <c r="B3" t="s">
        <v>9</v>
      </c>
      <c r="C3">
        <v>80</v>
      </c>
      <c r="D3">
        <v>400</v>
      </c>
      <c r="E3">
        <v>5</v>
      </c>
      <c r="G3" s="4">
        <f t="shared" ref="G3:G7" si="0">C3*E3</f>
        <v>400</v>
      </c>
      <c r="H3" s="6">
        <f>G3/D3</f>
        <v>1</v>
      </c>
      <c r="L3" s="1" t="s">
        <v>14</v>
      </c>
      <c r="M3">
        <f ca="1">SUMIF(B:D,L3,C:C)</f>
        <v>77</v>
      </c>
      <c r="N3">
        <f t="shared" ref="N3:N4" ca="1" si="1">SUMIF(B:G,L3,D:D)</f>
        <v>139</v>
      </c>
      <c r="O3">
        <f t="shared" ref="O3:O4" ca="1" si="2">SUMIF(B:G,L3,G:G)</f>
        <v>499</v>
      </c>
      <c r="P3" s="10">
        <f t="shared" ref="P3:P4" ca="1" si="3">AVERAGEIF(B:H,L3,H:H)</f>
        <v>2.6513761467889907</v>
      </c>
      <c r="Q3" s="9">
        <f t="shared" ref="Q3:Q4" ca="1" si="4">(N3*P3)/$J$2</f>
        <v>0.76779434250764522</v>
      </c>
    </row>
    <row r="4" spans="1:17" x14ac:dyDescent="0.25">
      <c r="A4" t="s">
        <v>7</v>
      </c>
      <c r="B4" t="s">
        <v>10</v>
      </c>
      <c r="C4">
        <v>10</v>
      </c>
      <c r="D4">
        <v>30</v>
      </c>
      <c r="E4">
        <v>3</v>
      </c>
      <c r="G4" s="4">
        <f t="shared" si="0"/>
        <v>30</v>
      </c>
      <c r="H4" s="6">
        <f t="shared" ref="H4:H7" si="5">G4/D4</f>
        <v>1</v>
      </c>
      <c r="L4" s="1" t="s">
        <v>15</v>
      </c>
      <c r="M4">
        <f ca="1">SUMIF(B:D,L4,C:C)</f>
        <v>39</v>
      </c>
      <c r="N4">
        <f t="shared" ca="1" si="1"/>
        <v>79</v>
      </c>
      <c r="O4">
        <f t="shared" ca="1" si="2"/>
        <v>545</v>
      </c>
      <c r="P4" s="10">
        <f t="shared" ca="1" si="3"/>
        <v>5.1893939393939394</v>
      </c>
      <c r="Q4" s="9">
        <f t="shared" ca="1" si="4"/>
        <v>0.85408775252525249</v>
      </c>
    </row>
    <row r="5" spans="1:17" x14ac:dyDescent="0.25">
      <c r="A5" t="s">
        <v>5</v>
      </c>
      <c r="B5" t="s">
        <v>11</v>
      </c>
      <c r="C5">
        <v>35</v>
      </c>
      <c r="D5">
        <v>55</v>
      </c>
      <c r="E5">
        <v>15</v>
      </c>
      <c r="G5" s="4">
        <f t="shared" si="0"/>
        <v>525</v>
      </c>
      <c r="H5" s="6">
        <f t="shared" si="5"/>
        <v>9.545454545454545</v>
      </c>
    </row>
    <row r="6" spans="1:17" x14ac:dyDescent="0.25">
      <c r="A6" t="s">
        <v>6</v>
      </c>
      <c r="B6" t="s">
        <v>10</v>
      </c>
      <c r="C6">
        <v>67</v>
      </c>
      <c r="D6">
        <v>109</v>
      </c>
      <c r="E6">
        <v>7</v>
      </c>
      <c r="G6" s="4">
        <f t="shared" si="0"/>
        <v>469</v>
      </c>
      <c r="H6" s="6">
        <f t="shared" si="5"/>
        <v>4.3027522935779814</v>
      </c>
    </row>
    <row r="7" spans="1:17" x14ac:dyDescent="0.25">
      <c r="A7" t="s">
        <v>7</v>
      </c>
      <c r="B7" t="s">
        <v>11</v>
      </c>
      <c r="C7">
        <v>4</v>
      </c>
      <c r="D7">
        <v>24</v>
      </c>
      <c r="E7">
        <v>5</v>
      </c>
      <c r="G7" s="4">
        <f t="shared" si="0"/>
        <v>20</v>
      </c>
      <c r="H7" s="6">
        <f t="shared" si="5"/>
        <v>0.83333333333333337</v>
      </c>
    </row>
  </sheetData>
  <conditionalFormatting sqref="L10:N1048562">
    <cfRule type="expression" dxfId="13" priority="1">
      <formula>_xlfn.ISFORMULA(L10:AB24)</formula>
    </cfRule>
    <cfRule type="expression" dxfId="12" priority="2">
      <formula>_xlfn.ISFORMULA(XFC1)</formula>
    </cfRule>
  </conditionalFormatting>
  <conditionalFormatting sqref="A1048563:K1048576">
    <cfRule type="expression" dxfId="11" priority="3">
      <formula>_xlfn.ISFORMULA(A1:R1048563)</formula>
    </cfRule>
    <cfRule type="expression" dxfId="10" priority="4">
      <formula>_xlfn.ISFORMULA(XES1048554)</formula>
    </cfRule>
  </conditionalFormatting>
  <conditionalFormatting sqref="O1048563:XFD1048576">
    <cfRule type="expression" dxfId="9" priority="5">
      <formula>_xlfn.ISFORMULA(AD1:O1048563)</formula>
    </cfRule>
    <cfRule type="expression" dxfId="8" priority="6">
      <formula>_xlfn.ISFORMULA(B1048554)</formula>
    </cfRule>
  </conditionalFormatting>
  <conditionalFormatting sqref="A1:K1048562">
    <cfRule type="expression" dxfId="7" priority="7">
      <formula>_xlfn.ISFORMULA(A1:R15)</formula>
    </cfRule>
    <cfRule type="expression" dxfId="6" priority="8">
      <formula>_xlfn.ISFORMULA(XES1048568)</formula>
    </cfRule>
  </conditionalFormatting>
  <conditionalFormatting sqref="O1:XEO1048562 L1:N9">
    <cfRule type="expression" dxfId="5" priority="11">
      <formula>_xlfn.ISFORMULA(L1:AB15)</formula>
    </cfRule>
    <cfRule type="expression" dxfId="4" priority="12">
      <formula>_xlfn.ISFORMULA(XFB1048568)</formula>
    </cfRule>
  </conditionalFormatting>
  <conditionalFormatting sqref="XEP1:XFD1048562">
    <cfRule type="expression" dxfId="3" priority="13">
      <formula>_xlfn.ISFORMULA(A1:XEP15)</formula>
    </cfRule>
    <cfRule type="expression" dxfId="2" priority="14">
      <formula>_xlfn.ISFORMULA(XEC1048568)</formula>
    </cfRule>
  </conditionalFormatting>
  <conditionalFormatting sqref="L1048563:N1048576">
    <cfRule type="expression" dxfId="1" priority="15">
      <formula>_xlfn.ISFORMULA(L1:AB1048563)</formula>
    </cfRule>
    <cfRule type="expression" dxfId="0" priority="16">
      <formula>_xlfn.ISFORMULA(XFC1048554)</formula>
    </cfRule>
  </conditionalFormatting>
  <pageMargins left="0.7" right="0.7" top="0.75" bottom="0.75" header="0.3" footer="0.3"/>
  <pageSetup paperSize="130" orientation="portrait" horizontalDpi="203" verticalDpi="203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2024-08-10T15:14:02Z</dcterms:created>
  <dcterms:modified xsi:type="dcterms:W3CDTF">2024-08-10T17:08:57Z</dcterms:modified>
</cp:coreProperties>
</file>